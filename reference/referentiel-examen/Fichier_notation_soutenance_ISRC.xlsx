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codeName="ThisWorkbook"/>
  <mc:AlternateContent xmlns:mc="http://schemas.openxmlformats.org/markup-compatibility/2006">
    <mc:Choice Requires="x15">
      <x15ac:absPath xmlns:x15ac="http://schemas.microsoft.com/office/spreadsheetml/2010/11/ac" url="C:\Users\gerar\Downloads\"/>
    </mc:Choice>
  </mc:AlternateContent>
  <xr:revisionPtr revIDLastSave="1" documentId="13_ncr:1_{C01B4865-4095-46C8-9560-2B5052404E0A}" xr6:coauthVersionLast="47" xr6:coauthVersionMax="47" xr10:uidLastSave="{D5B933C6-D218-48F6-945B-5B3889A63387}"/>
  <bookViews>
    <workbookView xWindow="-108" yWindow="-108" windowWidth="23256" windowHeight="13176" xr2:uid="{00000000-000D-0000-FFFF-FFFF00000000}"/>
  </bookViews>
  <sheets>
    <sheet name="Projet" sheetId="1" r:id="rId1"/>
  </sheets>
  <definedNames>
    <definedName name="_xlnm.Print_Area" localSheetId="0">Projet!$B$1:$F$59</definedName>
  </definedNames>
  <calcPr calcId="191028" refMode="R1C1"/>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 i="1" l="1"/>
  <c r="C54" i="1"/>
  <c r="F53" i="1"/>
  <c r="E53" i="1"/>
  <c r="C53" i="1"/>
  <c r="C52" i="1"/>
  <c r="C43" i="1"/>
  <c r="F52" i="1"/>
  <c r="F51" i="1"/>
  <c r="F50" i="1"/>
  <c r="F49" i="1"/>
  <c r="F48" i="1"/>
  <c r="E52" i="1"/>
  <c r="E51" i="1"/>
  <c r="E50" i="1"/>
  <c r="E49" i="1"/>
  <c r="E48" i="1"/>
  <c r="C51" i="1"/>
  <c r="C50" i="1"/>
  <c r="C49" i="1"/>
  <c r="C48" i="1"/>
  <c r="E57" i="1"/>
  <c r="C36" i="1" l="1"/>
  <c r="C29" i="1"/>
  <c r="C20" i="1"/>
  <c r="C15" i="1"/>
  <c r="C8" i="1"/>
</calcChain>
</file>

<file path=xl/sharedStrings.xml><?xml version="1.0" encoding="utf-8"?>
<sst xmlns="http://schemas.openxmlformats.org/spreadsheetml/2006/main" count="90" uniqueCount="82">
  <si>
    <t>FICHIER NOTATION SOUTENANCE ISRC.</t>
  </si>
  <si>
    <t>NOM</t>
  </si>
  <si>
    <t>PRENOM</t>
  </si>
  <si>
    <t>DATE DE NAISSANCE</t>
  </si>
  <si>
    <t>DATE DU PASSAGE</t>
  </si>
  <si>
    <t>Les cellules à remplir sont en vert.</t>
  </si>
  <si>
    <t>Compétences</t>
  </si>
  <si>
    <t>Notes soutenance</t>
  </si>
  <si>
    <t>COEF BLOC</t>
  </si>
  <si>
    <t>Indication pour le Jury</t>
  </si>
  <si>
    <t>BC01 - Piloter la conception d’une infrastructure systemes, reseaux securisee et respectueuse de la politique rse d’une organisation</t>
  </si>
  <si>
    <t>C01. Mettre en œuvre d’un processus d’audit des systèmes et réseaux en s’appuyant sur la mise en place d’une méthodologie d’inventaire et la planification des tests de l’architecture informatique, en coordonnant les équipes informatiques et les utilisateurs concernés afin de déterminer les modes d’utilisation des systèmes et réseaux par les parties prenantes internes et externes à l’entreprise.</t>
  </si>
  <si>
    <t>Voir Dossier de projet partie Audit</t>
  </si>
  <si>
    <t>C02. Evaluer les architectures systèmes réseaux existantes, selon une méthodologie d’évaluation, au regard des besoins et comportements des utilisateurs identifiés, en exploitant les schémas et données techniques, afin d’identifier les failles et améliorations possibles du service rendu, et conseiller la Direction informatique sur des évolutions et solutions en techniques nouvelles.</t>
  </si>
  <si>
    <t xml:space="preserve">Voir Dossier de projet partie analyse de l'audit </t>
  </si>
  <si>
    <t>C03. Réaliser les entretiens d’audit organisationnel en prenant en compte tous les besoins des parties prenantes, en analysant les modes de circulation de l’information au sein de l’entreprise et les échanges avec l’extérieur (clients, fournisseurs, etc.) et en sélectionnant les ressources matérielles et logicielles (machines locales, externes, en cloud) afin de définir une infrastructure systèmes et réseaux adaptée.</t>
  </si>
  <si>
    <t>Voir dossier de projet analyse des besoins et elaboration des solutions.</t>
  </si>
  <si>
    <t>C04. Spécifier les besoins et comportements des utilisateurs en s’appuyant sur la description des scenarii utilisateurs, l’identification des besoins afin de déterminer les types de systèmes et réseaux adaptés    (local, à distance, sans fil, etc.) aux besoins exprimés par les parties prenantes.</t>
  </si>
  <si>
    <t>analyse des besoins exprimes et identifies</t>
  </si>
  <si>
    <t>C05. Concevoir une stratégie de développement des systèmes et réseaux conforme aux besoins exprimés, aux objectifs de la structure, et à la réglementation en matière de sécurisation informatique, de cybersécurité, d’éthique, de green IT et d’accessibilité, en s’appuyant sur l’audit organisationnel et technique, afin d’anticiper sur les besoins présents et futurs des différentes parties prenantes.</t>
  </si>
  <si>
    <t>Dans le dossier de projet voir l'analyse des besoins l'analyse de l'audit, prise en charge RGPD, CNIL ,Demarche ITIL integration du RSE.</t>
  </si>
  <si>
    <t>C06. Piloter la conception d’une infrastructure systèmes et réseaux sécurisée en maîtrisant la méthodologie de conception des architectures systèmes et réseaux, en mobilisant les équipements réseaux en charge de la disponibilité des machines et des services, en respectant les recommandations techniques des constructeurs et les caractéristiques matérielles en termes de capacité ainsi que le budget afin de répondre aux besoins du projet défini.</t>
  </si>
  <si>
    <t>Elaboration des solutions, Presence HA, Budget final</t>
  </si>
  <si>
    <t>BC02 - Suivre et mettre en œuvre le deploiement de l’infrastructure systemes et reseaux securisee adaptee aux besoins</t>
  </si>
  <si>
    <t>C07. Mettre en place une stratégie de configuration des protocoles de routage adaptés aux configurations, en se conformant aux besoins des utilisateurs et aux règles de sécurité informatique en vigueur, en vue de déterminer le raccordement des postes à un ou plusieurs serveurs.</t>
  </si>
  <si>
    <t>HA, redondance du materiel reseau, Vlan, routage intervlan, STP level 2 stack.</t>
  </si>
  <si>
    <t>C08. Analyser l’activité des serveurs et des réseaux, en se basant sur une analyse fonctionnelle de l’activité, le respect du schéma général de routage ainsi que la maîtrise de la notion de continuité d’activité ou de service en vue de mettre en place une stratégie de paramétrage des serveurs conforme aux configurations.</t>
  </si>
  <si>
    <t>PRA/PCA. HA Serveurs et Service avec utilisation de cluster de basculement.</t>
  </si>
  <si>
    <t>C09. Mettre en place une stratégie de paramétrage des serveurs à partir des indicateurs définis, de l’estimation prévisionnelle des usages (capacity planning), de la quantification et de la hiérarchisation des risques de rupture afin d’anticiper les risques de rupture et ainsi garantir la disponibilité des serveurs.</t>
  </si>
  <si>
    <t>Analyse des risques et utilisations d'un outil de monitoring</t>
  </si>
  <si>
    <t>C10. Piloter le déploiement de l’environnement logiciels et applicatifs en analysant la compatibilité des applications et des logiciels utilisés avec les systèmes d’exploitation et le matériel utilisé, afin de prévenir les risques de dysfonctionnement et d’assurer la continuité de l’activité (PCA).</t>
  </si>
  <si>
    <t>PCA. Utilisation d'un outil de deploiement analyse des versions de produits</t>
  </si>
  <si>
    <t>BC03 - Elaborer la strategie de securisation de l’infrastructure informatique</t>
  </si>
  <si>
    <t>C11. Recenser les points de vulnérabilité de l’architecture informatique, en s’appuyant sur la mise en œuvre des normes et recommandations notamment en matière de cybersécurité afin de définir des processus de gestion de crise et ainsi anticiper tout type d’incident sur les systèmes et réseaux informatiques de l’entreprise.</t>
  </si>
  <si>
    <t>Utilisation d'un SIEM et mise en place d'un SOC . Regles de flux sur NGFW</t>
  </si>
  <si>
    <t>C12. Utiliser des scenarii d’attaques de réseaux, selon les recommandations de l’ANSSI, en mettant en place des alertes adaptées aux risques, en définissant des processus de gestion de crise, en élaborant un processus de bascule adaptées aux configurations sur les réseaux secondaires et en formant les équipes informatiques et les utilisateurs afin de prévenir les risques en matière de sécurité.</t>
  </si>
  <si>
    <t>Simulation d'attaque vec outil Threat intelligence, SIEM IDS/IPS, Bascule et redondance, PCA, PSSI, Mise en place d'audit de securite.</t>
  </si>
  <si>
    <t>C13. Délimiter des zones de sensibilité en se basant sur une cartographie des zones réseaux, la mise en en œuvre des systèmes d’alarmes et de protection intégrés au système d’information afin de définir une stratégie de paramétrage des équipements de sécurité.</t>
  </si>
  <si>
    <t>AV, IDS/IPS , SIEM</t>
  </si>
  <si>
    <t>C14. Analyser les besoins de connexions des différentes catégories d’utilisateurs en prenant en compte les tailles et types de données, en vue de superviser le paramétrage des accès aux réseaux de l’entreprise, dans des conditions de sécurité optimales.</t>
  </si>
  <si>
    <t>VPN pour Teletravail, FAI avec mise en place d'une bande passante suffisante type MPLS ou SDWAN</t>
  </si>
  <si>
    <t>C15. Analyser les possibilités d’accès à distance à partir d’un recensement exhaustif, par l’équipe systèmes et réseaux, afin de sélectionner des protocoles adaptés aux besoins des utilisateurs (taille et types de données partagées etc.).</t>
  </si>
  <si>
    <t>C16. . Identifier les failles du logiciel de messagerie en se basant sur les risques de piratages des comptes et des données, en définissant des chaînes d’authentification uniques (fédération d’identité, Single Sign-On (SSO)) et l’architecture logique des services d’identité (IAM, forêts, domaines et relations d’approbation Active Directory) en vue de mettre en place un processus de prévention et de sensibiliser les utilisateurs aux bonnes pratiques de protection et de prévention des intrusions informatiques.</t>
  </si>
  <si>
    <t>mise en place d'une PSSI, MFA, IAM</t>
  </si>
  <si>
    <t>C17. Mettre en place un processus de protections des données au repos et en transit en définissant des formats et des modalités de stockage et d’archivage des données, en configurant les bases de données en respectant la réglementation en vigueur (Règles de sécurisation, RGPD, etc.), en s’assurant de l’adéquation des plateformes d’échange, de transfert et de partage de fichiers et de données dans le but de répondre à des besoins logistiques et opérationnels.</t>
  </si>
  <si>
    <t>Regle CNIL  et RGPD, Regles strictes d'acces aux donnees (Active Directory)</t>
  </si>
  <si>
    <t>C18. Analyser les besoins de protection de données en ayant recourt à la méthodologie d'analyse, en respectant les normes en vigueur et recommandations en matière de sécurisation des données en vue de rechercher et mettre en œuvre des solutions de cryptage adaptées.</t>
  </si>
  <si>
    <t>mise en place d'ACL utilisation de DFS</t>
  </si>
  <si>
    <t>BC04 - Manager la performance des systemes et reseaux d’une organisation</t>
  </si>
  <si>
    <t>C19. Définir des critères de mesure de la performance des systèmes et réseaux en mobilisant les méthodes de tests de mesure de performance, en élaborant des outils de mesure de performance et en définissant des métriques pertinentes et leurs seuils d’alerte afin de mesurer les performances de systèmes et réseaux informatiques.</t>
  </si>
  <si>
    <t>Monitoring avec mise en place de seuils d'utilisation et d'alerte, utilisation de SNMP</t>
  </si>
  <si>
    <t>C20. Analyser les niveaux de performance de l’infrastructure des systèmes et réseaux en se basant sur les indicateurs des niveaux/seuils de performance, le choix des référentiels théoriques, l’analyse et la présentation des résultats et les capacités de commutation théoriques afin d’évaluer les systèmes et réseaux d’organisations et ainsi identifier les problèmes récurrents.</t>
  </si>
  <si>
    <t>C21. Optimiser la performance de l’infrastructure systèmes et réseaux en étudiant les risques éventuels de modification des systèmes et réseaux, les résultats de mesures de performance pour identifier les zones de défaillance afin de proposer des mesures correctives automatisées dans le cadre du processus d’amélioration continue.</t>
  </si>
  <si>
    <t>Devops  et script d'automatisation associes a l'outil de monnitorin.</t>
  </si>
  <si>
    <t>C22. Estimer les possibilités de gains de performances des systèmes et réseaux en se basant sur les risques éventuels de modification de réseaux et systèmes, la localisation des zones de défaillance en vue de concevoir et d’organiser des interventions d’amélioration de la performance des systèmes et réseaux informatiques..</t>
  </si>
  <si>
    <t>Utilisation outil de monitoring pour evaluer la charges des systemes, Test de charge, Plannification ds intervention (outil de gestion des appels et interventions, outils de mise a jour des logiciel et pilotes, pour le reseau utilisation de la QOS</t>
  </si>
  <si>
    <t>C23. Analyser les coûts et les risques éventuels de modification des systèmes et réseaux en analysant les conditions de mise en place d’axes d’amélioration afin de conseiller des décisionnaires.</t>
  </si>
  <si>
    <t>propositions d'axe d'amelioration futures</t>
  </si>
  <si>
    <t>C24. Manager les équipes qui interviennent sur les systèmes et réseaux en établissant un planning projet présentant les risques éventuels de modification de systèmes et réseaux, en définissant les feuilles de route des membres de l’équipe, en recensant les compétences nécessaires, en mettant en œuvre la méthode agile afin de mobiliser des ressources compétentes sur des étapes déterminées.</t>
  </si>
  <si>
    <t>utilisation du GANTT analyse des risques</t>
  </si>
  <si>
    <t>BC05 - Elaborer une strategie de gestion des nouveaux projets informatiques d’une organisation</t>
  </si>
  <si>
    <t>C25. Analyser les évolutions programmées de besoins ou d’activités à partir d’une méthodologie d’études, d’analyse des enjeux du développement de nouvelles solutions systèmes et réseaux dans le but d’identifier les modifications d’architecture à effectuer et ainsi rédiger le cahier des charges relatifs aux types de solutions recherchées.</t>
  </si>
  <si>
    <t>Gestion de projet</t>
  </si>
  <si>
    <t>C26. Réaliser des enquêtes auprès d’utilisateurs types en respectant la méthodologie d’enquête afin d’identifier des besoins en termes d’intégration de fonctionnalités ou de possibilités d’utilisation spécifiques.</t>
  </si>
  <si>
    <t>mise en place de SLA</t>
  </si>
  <si>
    <t>C27. Réaliser des études de faisabilité en prenant en compte les enjeux stratégiques et financiers pour évaluer des possibilités de développement et de mise en place de solutions spécifiques sécurisées.</t>
  </si>
  <si>
    <t>Analyse audit reseau systeme et securite analyse cahier des charges, bilan financier.</t>
  </si>
  <si>
    <t>C28. Estimer des coûts de mise en place et de maintenance sur la durée du cycle de vie des systèmes et réseaux en prenant en comptes les besoins de l’entreprise pour les intégrer aux budgets prévisionnels d’investissements.</t>
  </si>
  <si>
    <t>contrat de maintenance et support</t>
  </si>
  <si>
    <t>C29. Anticiper des conséquences d’interventions sur les systèmes et réseaux en se basant sur la méthodologie d’accompagnement du changement (rédaction et diffusion des compte-rendu, documentation) pour élaborer des programmes d’accompagnement adaptés des utilisateurs.</t>
  </si>
  <si>
    <t>Formations et transfert de competences.</t>
  </si>
  <si>
    <t>C30. Identifier des besoins de formation des utilisateurs des systèmes et réseaux à travers une analyse des compétences afin de programmer des sessions de formations   individuelles ou collectives adaptées et inclusives.</t>
  </si>
  <si>
    <t>C31. Maîtriser l’anglais technique dans son activité professionnelle afin de mener une veille efficace et comprendre une information technique relative à l’infrastructure systèmes et réseaux en anglais.</t>
  </si>
  <si>
    <t>Examen écrit : Compte-rendu de veille technologique ou réglementaire relative à l’infrastructure systèmes et réseaux, documentée de sources anglophones.</t>
  </si>
  <si>
    <t>Notes soutenance
55%</t>
  </si>
  <si>
    <t>Moyenne CC
45%</t>
  </si>
  <si>
    <t>Moyenne (Coef)</t>
  </si>
  <si>
    <t>ETAT</t>
  </si>
  <si>
    <t>Utilisation de l’anglais technique dans son activité professionnelle</t>
  </si>
  <si>
    <t>MOYENNE GENERALE</t>
  </si>
  <si>
    <t>RÉSULTAT</t>
  </si>
  <si>
    <t>S’il est en rattrapage, l’étudiant doit retravailler les blocs de compétences pour lesquels il n’a pas obtenu la moyenne.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</si>
</sst>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20">
    <font>
      <sz val="11"/>
      <color rgb="FF000000"/>
      <name val="Calibri"/>
    </font>
    <font>
      <sz val="11"/>
      <color rgb="FF000000"/>
      <name val="Calibri"/>
      <family val="2"/>
    </font>
    <font>
      <sz val="11"/>
      <color rgb="FF000000"/>
      <name val="Calibri"/>
      <family val="2"/>
    </font>
    <font>
      <sz val="9"/>
      <color rgb="FF000000"/>
      <name val="Calibri"/>
      <family val="2"/>
    </font>
    <font>
      <b/>
      <sz val="12"/>
      <color rgb="FFFFFFFF"/>
      <name val="Calibri"/>
      <family val="2"/>
    </font>
    <font>
      <b/>
      <sz val="9"/>
      <color rgb="FFFFFFFF"/>
      <name val="Calibri"/>
      <family val="2"/>
    </font>
    <font>
      <sz val="12"/>
      <color rgb="FFFF0000"/>
      <name val="Calibri"/>
      <family val="2"/>
    </font>
    <font>
      <b/>
      <sz val="12"/>
      <name val="Calibri"/>
      <family val="2"/>
    </font>
    <font>
      <i/>
      <sz val="10"/>
      <name val="Calibri"/>
      <family val="2"/>
    </font>
    <font>
      <b/>
      <sz val="10"/>
      <color rgb="FF000000"/>
      <name val="Calibri"/>
      <family val="2"/>
    </font>
    <font>
      <b/>
      <sz val="10"/>
      <color rgb="FFFFFFFF"/>
      <name val="Calibri"/>
      <family val="2"/>
    </font>
    <font>
      <b/>
      <u/>
      <sz val="20"/>
      <color rgb="FF000000"/>
      <name val="Calibri"/>
      <family val="2"/>
    </font>
    <font>
      <b/>
      <sz val="14"/>
      <color rgb="FF000000"/>
      <name val="Calibri"/>
      <family val="2"/>
    </font>
    <font>
      <b/>
      <sz val="14"/>
      <color rgb="FFFFFFFF"/>
      <name val="Calibri"/>
      <family val="2"/>
    </font>
    <font>
      <sz val="14"/>
      <color rgb="FF000000"/>
      <name val="Calibri"/>
      <family val="2"/>
    </font>
    <font>
      <b/>
      <sz val="12"/>
      <color theme="0"/>
      <name val="Calibri"/>
      <family val="2"/>
    </font>
    <font>
      <b/>
      <sz val="12"/>
      <color rgb="FF000000"/>
      <name val="Calibri"/>
      <family val="2"/>
    </font>
    <font>
      <b/>
      <sz val="10"/>
      <color rgb="FFFF0000"/>
      <name val="Calibri"/>
      <family val="2"/>
    </font>
    <font>
      <sz val="10"/>
      <color rgb="FFFF0000"/>
      <name val="Calibri"/>
      <family val="2"/>
    </font>
    <font>
      <sz val="11"/>
      <color rgb="FF000000"/>
      <name val="Calibri"/>
    </font>
  </fonts>
  <fills count="8">
    <fill>
      <patternFill patternType="none"/>
    </fill>
    <fill>
      <patternFill patternType="gray125"/>
    </fill>
    <fill>
      <patternFill patternType="none"/>
    </fill>
    <fill>
      <patternFill patternType="solid">
        <fgColor rgb="FFD9E2F3"/>
        <bgColor rgb="FFFFFFFF"/>
      </patternFill>
    </fill>
    <fill>
      <patternFill patternType="solid">
        <fgColor rgb="FF223962"/>
        <bgColor rgb="FFFFFFFF"/>
      </patternFill>
    </fill>
    <fill>
      <patternFill patternType="solid">
        <fgColor theme="8" tint="0.79998168889431442"/>
        <bgColor indexed="64"/>
      </patternFill>
    </fill>
    <fill>
      <patternFill patternType="solid">
        <fgColor rgb="FF92D050"/>
        <bgColor rgb="FFFFFFFF"/>
      </patternFill>
    </fill>
    <fill>
      <patternFill patternType="solid">
        <fgColor rgb="FF92D050"/>
        <bgColor indexed="64"/>
      </patternFill>
    </fill>
  </fills>
  <borders count="9">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rgb="FF000000"/>
      </left>
      <right style="thin">
        <color rgb="FF000000"/>
      </right>
      <top/>
      <bottom/>
      <diagonal/>
    </border>
    <border>
      <left/>
      <right style="thin">
        <color indexed="64"/>
      </right>
      <top/>
      <bottom/>
      <diagonal/>
    </border>
  </borders>
  <cellStyleXfs count="4">
    <xf numFmtId="0" fontId="0" fillId="0" borderId="0"/>
    <xf numFmtId="164" fontId="2" fillId="0" borderId="0" applyFont="0" applyFill="0" applyBorder="0" applyAlignment="0" applyProtection="0"/>
    <xf numFmtId="0" fontId="19" fillId="2" borderId="0"/>
    <xf numFmtId="164" fontId="1" fillId="2" borderId="0" applyFont="0" applyFill="0" applyBorder="0" applyAlignment="0" applyProtection="0"/>
  </cellStyleXfs>
  <cellXfs count="51">
    <xf numFmtId="0" fontId="0" fillId="2" borderId="0" xfId="0" applyFill="1"/>
    <xf numFmtId="0" fontId="1" fillId="2" borderId="0" xfId="0" applyFont="1" applyFill="1" applyAlignment="1">
      <alignment wrapText="1"/>
    </xf>
    <xf numFmtId="0" fontId="3" fillId="2" borderId="0" xfId="0" applyFont="1" applyFill="1" applyAlignment="1">
      <alignment wrapText="1"/>
    </xf>
    <xf numFmtId="0" fontId="4" fillId="4" borderId="2" xfId="0" applyFont="1" applyFill="1" applyBorder="1" applyAlignment="1">
      <alignment horizontal="center" vertical="center" wrapText="1"/>
    </xf>
    <xf numFmtId="2" fontId="4" fillId="4" borderId="1" xfId="0" applyNumberFormat="1" applyFont="1" applyFill="1" applyBorder="1" applyAlignment="1">
      <alignment horizontal="center" vertical="center" wrapText="1"/>
    </xf>
    <xf numFmtId="2" fontId="4" fillId="4" borderId="3" xfId="0" applyNumberFormat="1" applyFont="1" applyFill="1" applyBorder="1" applyAlignment="1" applyProtection="1">
      <alignment horizontal="center" vertical="center" wrapText="1"/>
      <protection locked="0"/>
    </xf>
    <xf numFmtId="0" fontId="4" fillId="4" borderId="1" xfId="0" applyFont="1" applyFill="1" applyBorder="1" applyAlignment="1">
      <alignment horizontal="left" vertical="center" wrapText="1"/>
    </xf>
    <xf numFmtId="2" fontId="4" fillId="4" borderId="7" xfId="0" applyNumberFormat="1" applyFont="1" applyFill="1" applyBorder="1" applyAlignment="1">
      <alignment horizontal="center" vertical="center" wrapText="1"/>
    </xf>
    <xf numFmtId="2" fontId="4" fillId="4" borderId="5" xfId="0" applyNumberFormat="1" applyFont="1" applyFill="1" applyBorder="1" applyAlignment="1">
      <alignment horizontal="center" vertical="center" wrapText="1"/>
    </xf>
    <xf numFmtId="0" fontId="4" fillId="4" borderId="0" xfId="0" applyFont="1" applyFill="1" applyAlignment="1">
      <alignment horizontal="right" vertical="center" wrapText="1"/>
    </xf>
    <xf numFmtId="0" fontId="5" fillId="4" borderId="2" xfId="0" applyFont="1" applyFill="1" applyBorder="1" applyAlignment="1">
      <alignment horizontal="left" vertical="center" wrapText="1"/>
    </xf>
    <xf numFmtId="2" fontId="4" fillId="4" borderId="2" xfId="0" applyNumberFormat="1" applyFont="1" applyFill="1" applyBorder="1" applyAlignment="1">
      <alignment horizontal="center" vertical="center" wrapText="1"/>
    </xf>
    <xf numFmtId="2" fontId="4" fillId="4" borderId="2" xfId="0" applyNumberFormat="1" applyFont="1" applyFill="1" applyBorder="1" applyAlignment="1" applyProtection="1">
      <alignment horizontal="center" vertical="center" wrapText="1"/>
      <protection locked="0"/>
    </xf>
    <xf numFmtId="0" fontId="3" fillId="3" borderId="2" xfId="0" applyFont="1" applyFill="1" applyBorder="1" applyAlignment="1">
      <alignment vertical="center" wrapText="1"/>
    </xf>
    <xf numFmtId="0" fontId="9" fillId="3"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6" fillId="3" borderId="2" xfId="0" applyFont="1" applyFill="1" applyBorder="1" applyAlignment="1" applyProtection="1">
      <alignment horizontal="center" vertical="center" wrapText="1"/>
      <protection locked="0"/>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2" fillId="3" borderId="2" xfId="0" applyFont="1" applyFill="1" applyBorder="1" applyAlignment="1">
      <alignment horizontal="center" vertical="center" wrapText="1"/>
    </xf>
    <xf numFmtId="0" fontId="14" fillId="2" borderId="0" xfId="0" applyFont="1" applyFill="1" applyAlignment="1">
      <alignment wrapText="1"/>
    </xf>
    <xf numFmtId="0" fontId="14" fillId="2" borderId="0" xfId="0" applyFont="1" applyFill="1" applyAlignment="1">
      <alignment horizontal="center" vertical="center" wrapText="1"/>
    </xf>
    <xf numFmtId="0" fontId="6" fillId="6" borderId="6" xfId="0" applyFont="1" applyFill="1" applyBorder="1" applyAlignment="1">
      <alignment horizontal="center" vertical="center" wrapText="1"/>
    </xf>
    <xf numFmtId="0" fontId="6" fillId="6" borderId="4" xfId="0" applyFont="1" applyFill="1" applyBorder="1" applyAlignment="1">
      <alignment horizontal="center" vertical="center" wrapText="1"/>
    </xf>
    <xf numFmtId="14" fontId="6" fillId="6" borderId="3" xfId="0" applyNumberFormat="1" applyFont="1" applyFill="1" applyBorder="1" applyAlignment="1">
      <alignment horizontal="center" vertical="center" wrapText="1"/>
    </xf>
    <xf numFmtId="0" fontId="16" fillId="7" borderId="0" xfId="0" applyFont="1" applyFill="1" applyAlignment="1">
      <alignment horizontal="center" wrapText="1"/>
    </xf>
    <xf numFmtId="2" fontId="4" fillId="4" borderId="0" xfId="0" applyNumberFormat="1" applyFont="1" applyFill="1" applyAlignment="1">
      <alignment horizontal="center" vertical="center" wrapText="1"/>
    </xf>
    <xf numFmtId="0" fontId="5" fillId="4" borderId="0" xfId="0" applyFont="1" applyFill="1" applyAlignment="1">
      <alignment horizontal="left" vertical="center" wrapText="1"/>
    </xf>
    <xf numFmtId="0" fontId="4" fillId="4" borderId="0" xfId="0" applyFont="1" applyFill="1" applyAlignment="1" applyProtection="1">
      <alignment horizontal="center" vertical="center" wrapText="1"/>
      <protection locked="0"/>
    </xf>
    <xf numFmtId="2" fontId="15" fillId="4" borderId="0" xfId="0" applyNumberFormat="1" applyFont="1" applyFill="1" applyAlignment="1">
      <alignment horizontal="center" vertical="center" wrapText="1"/>
    </xf>
    <xf numFmtId="0" fontId="3" fillId="3" borderId="2" xfId="2" applyFont="1" applyFill="1" applyBorder="1" applyAlignment="1">
      <alignment vertical="center" wrapText="1"/>
    </xf>
    <xf numFmtId="0" fontId="17" fillId="3" borderId="3"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4" xfId="0" applyFont="1" applyFill="1" applyBorder="1" applyAlignment="1">
      <alignment horizontal="center" vertical="center" wrapText="1"/>
    </xf>
    <xf numFmtId="2" fontId="4" fillId="4" borderId="2"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4" xfId="0" applyFont="1" applyFill="1" applyBorder="1" applyAlignment="1">
      <alignment horizontal="center" vertical="center" wrapText="1"/>
    </xf>
    <xf numFmtId="164" fontId="8" fillId="5" borderId="2" xfId="1" applyFont="1" applyFill="1" applyBorder="1" applyAlignment="1">
      <alignment horizontal="center" vertical="center" wrapText="1"/>
    </xf>
    <xf numFmtId="2" fontId="15" fillId="4" borderId="2" xfId="0" applyNumberFormat="1" applyFont="1" applyFill="1" applyBorder="1" applyAlignment="1">
      <alignment horizontal="center" vertical="center" wrapText="1"/>
    </xf>
    <xf numFmtId="2" fontId="4" fillId="4" borderId="0" xfId="0" applyNumberFormat="1" applyFont="1" applyFill="1" applyAlignment="1">
      <alignment horizontal="center" vertical="center" wrapText="1"/>
    </xf>
    <xf numFmtId="0" fontId="4" fillId="4" borderId="3" xfId="0" applyFont="1" applyFill="1" applyBorder="1" applyAlignment="1">
      <alignment horizontal="left" vertical="center" wrapText="1"/>
    </xf>
    <xf numFmtId="0" fontId="4" fillId="4" borderId="6"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4" borderId="2" xfId="0" applyFont="1" applyFill="1" applyBorder="1" applyAlignment="1">
      <alignment horizontal="center" vertical="center" wrapText="1"/>
    </xf>
    <xf numFmtId="2" fontId="7" fillId="5" borderId="2" xfId="0" applyNumberFormat="1" applyFont="1" applyFill="1" applyBorder="1" applyAlignment="1">
      <alignment horizontal="center" vertical="center" wrapText="1"/>
    </xf>
    <xf numFmtId="14" fontId="6" fillId="6" borderId="3" xfId="0" applyNumberFormat="1" applyFont="1" applyFill="1" applyBorder="1" applyAlignment="1">
      <alignment horizontal="center" vertical="center" wrapText="1"/>
    </xf>
    <xf numFmtId="0" fontId="11" fillId="2" borderId="8"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4" xfId="0" applyFont="1" applyFill="1" applyBorder="1" applyAlignment="1">
      <alignment horizontal="center" vertical="center" wrapText="1"/>
    </xf>
  </cellXfs>
  <cellStyles count="4">
    <cellStyle name="Monétaire" xfId="1" builtinId="4"/>
    <cellStyle name="Monétaire 2" xfId="3" xr:uid="{49A370A2-F81C-4978-B6E9-95E91655CD49}"/>
    <cellStyle name="Normal" xfId="0" builtinId="0"/>
    <cellStyle name="Normal 2" xfId="2" xr:uid="{82383F2A-CA27-4636-AC3B-283C459A752B}"/>
  </cellStyles>
  <dxfs count="7">
    <dxf>
      <fill>
        <patternFill>
          <bgColor rgb="FF92D050"/>
        </patternFill>
      </fill>
    </dxf>
    <dxf>
      <fill>
        <patternFill>
          <bgColor theme="9"/>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B1:H59"/>
  <sheetViews>
    <sheetView tabSelected="1" topLeftCell="B40" zoomScale="90" zoomScaleNormal="90" workbookViewId="0">
      <selection activeCell="C53" sqref="C53"/>
    </sheetView>
  </sheetViews>
  <sheetFormatPr defaultColWidth="8.7109375" defaultRowHeight="14.45" outlineLevelRow="1"/>
  <cols>
    <col min="1" max="1" width="8.7109375" style="1"/>
    <col min="2" max="2" width="172.7109375" style="2" customWidth="1"/>
    <col min="3" max="3" width="23.5703125" style="1" customWidth="1"/>
    <col min="4" max="4" width="11.7109375" style="1" bestFit="1" customWidth="1"/>
    <col min="5" max="5" width="11.7109375" style="1" customWidth="1"/>
    <col min="6" max="6" width="23.42578125" style="1" customWidth="1"/>
    <col min="7" max="7" width="8.7109375" style="1"/>
    <col min="8" max="8" width="8.7109375" style="17"/>
    <col min="9" max="16384" width="8.7109375" style="1"/>
  </cols>
  <sheetData>
    <row r="1" spans="2:8" ht="15.4" customHeight="1">
      <c r="B1" s="47" t="s">
        <v>0</v>
      </c>
      <c r="C1" s="3" t="s">
        <v>1</v>
      </c>
      <c r="D1" s="35"/>
      <c r="E1" s="36"/>
      <c r="F1" s="37"/>
    </row>
    <row r="2" spans="2:8" ht="15.4" customHeight="1">
      <c r="B2" s="47"/>
      <c r="C2" s="3" t="s">
        <v>2</v>
      </c>
      <c r="D2" s="35"/>
      <c r="E2" s="36"/>
      <c r="F2" s="37"/>
    </row>
    <row r="3" spans="2:8" ht="15.4" customHeight="1">
      <c r="B3" s="47"/>
      <c r="C3" s="3" t="s">
        <v>3</v>
      </c>
      <c r="D3" s="46"/>
      <c r="E3" s="36"/>
      <c r="F3" s="37"/>
    </row>
    <row r="4" spans="2:8" ht="15.4" customHeight="1">
      <c r="B4" s="47"/>
      <c r="C4" s="3" t="s">
        <v>4</v>
      </c>
      <c r="D4" s="24"/>
      <c r="E4" s="22"/>
      <c r="F4" s="23"/>
    </row>
    <row r="5" spans="2:8" ht="15.4" customHeight="1">
      <c r="B5" s="47"/>
    </row>
    <row r="6" spans="2:8" ht="15.6">
      <c r="B6" s="25" t="s">
        <v>5</v>
      </c>
    </row>
    <row r="7" spans="2:8" s="20" customFormat="1" ht="36">
      <c r="B7" s="19" t="s">
        <v>6</v>
      </c>
      <c r="C7" s="19" t="s">
        <v>7</v>
      </c>
      <c r="D7" s="19" t="s">
        <v>8</v>
      </c>
      <c r="E7" s="48" t="s">
        <v>9</v>
      </c>
      <c r="F7" s="48"/>
      <c r="H7" s="21"/>
    </row>
    <row r="8" spans="2:8" ht="15.6">
      <c r="B8" s="10" t="s">
        <v>10</v>
      </c>
      <c r="C8" s="11">
        <f>(SUM(C9:C14)/(COUNTA(B9:B14)))*2</f>
        <v>0</v>
      </c>
      <c r="D8" s="12">
        <v>2</v>
      </c>
      <c r="E8" s="34"/>
      <c r="F8" s="34"/>
    </row>
    <row r="9" spans="2:8" ht="42.4" customHeight="1" outlineLevel="1">
      <c r="B9" s="13" t="s">
        <v>11</v>
      </c>
      <c r="C9" s="16"/>
      <c r="D9" s="31" t="s">
        <v>12</v>
      </c>
      <c r="E9" s="49"/>
      <c r="F9" s="50"/>
    </row>
    <row r="10" spans="2:8" ht="42.4" customHeight="1" outlineLevel="1">
      <c r="B10" s="13" t="s">
        <v>13</v>
      </c>
      <c r="C10" s="16"/>
      <c r="D10" s="31" t="s">
        <v>14</v>
      </c>
      <c r="E10" s="32"/>
      <c r="F10" s="33"/>
    </row>
    <row r="11" spans="2:8" ht="42.4" customHeight="1" outlineLevel="1">
      <c r="B11" s="30" t="s">
        <v>15</v>
      </c>
      <c r="C11" s="16"/>
      <c r="D11" s="31" t="s">
        <v>16</v>
      </c>
      <c r="E11" s="32"/>
      <c r="F11" s="33"/>
    </row>
    <row r="12" spans="2:8" ht="42.4" customHeight="1" outlineLevel="1">
      <c r="B12" s="13" t="s">
        <v>17</v>
      </c>
      <c r="C12" s="16"/>
      <c r="D12" s="31" t="s">
        <v>18</v>
      </c>
      <c r="E12" s="32"/>
      <c r="F12" s="33"/>
    </row>
    <row r="13" spans="2:8" ht="42.4" customHeight="1" outlineLevel="1">
      <c r="B13" s="13" t="s">
        <v>19</v>
      </c>
      <c r="C13" s="16"/>
      <c r="D13" s="31" t="s">
        <v>20</v>
      </c>
      <c r="E13" s="32"/>
      <c r="F13" s="33"/>
    </row>
    <row r="14" spans="2:8" ht="42.4" customHeight="1" outlineLevel="1">
      <c r="B14" s="13" t="s">
        <v>21</v>
      </c>
      <c r="C14" s="16"/>
      <c r="D14" s="31" t="s">
        <v>22</v>
      </c>
      <c r="E14" s="32"/>
      <c r="F14" s="33"/>
    </row>
    <row r="15" spans="2:8" ht="15.6">
      <c r="B15" s="10" t="s">
        <v>23</v>
      </c>
      <c r="C15" s="11">
        <f>(SUM(C16:C19)/(COUNTA(B16:B19)))*2</f>
        <v>0</v>
      </c>
      <c r="D15" s="12">
        <v>5</v>
      </c>
      <c r="E15" s="34"/>
      <c r="F15" s="34"/>
      <c r="H15" s="18"/>
    </row>
    <row r="16" spans="2:8" ht="42.4" customHeight="1" outlineLevel="1">
      <c r="B16" s="13" t="s">
        <v>24</v>
      </c>
      <c r="C16" s="16"/>
      <c r="D16" s="31" t="s">
        <v>25</v>
      </c>
      <c r="E16" s="32"/>
      <c r="F16" s="33"/>
    </row>
    <row r="17" spans="2:8" ht="42.4" customHeight="1" outlineLevel="1">
      <c r="B17" s="13" t="s">
        <v>26</v>
      </c>
      <c r="C17" s="16"/>
      <c r="D17" s="31" t="s">
        <v>27</v>
      </c>
      <c r="E17" s="32"/>
      <c r="F17" s="33"/>
    </row>
    <row r="18" spans="2:8" ht="42.4" customHeight="1" outlineLevel="1">
      <c r="B18" s="13" t="s">
        <v>28</v>
      </c>
      <c r="C18" s="16"/>
      <c r="D18" s="31" t="s">
        <v>29</v>
      </c>
      <c r="E18" s="32"/>
      <c r="F18" s="33"/>
    </row>
    <row r="19" spans="2:8" ht="42.4" customHeight="1" outlineLevel="1">
      <c r="B19" s="13" t="s">
        <v>30</v>
      </c>
      <c r="C19" s="16"/>
      <c r="D19" s="31" t="s">
        <v>31</v>
      </c>
      <c r="E19" s="32"/>
      <c r="F19" s="33"/>
    </row>
    <row r="20" spans="2:8" ht="15.6">
      <c r="B20" s="10" t="s">
        <v>32</v>
      </c>
      <c r="C20" s="11">
        <f>(SUM(C21:C28)/(COUNTA(B21:B28)))*2</f>
        <v>0</v>
      </c>
      <c r="D20" s="12">
        <v>4</v>
      </c>
      <c r="E20" s="34"/>
      <c r="F20" s="34"/>
      <c r="H20" s="18"/>
    </row>
    <row r="21" spans="2:8" ht="42.4" customHeight="1" outlineLevel="1">
      <c r="B21" s="13" t="s">
        <v>33</v>
      </c>
      <c r="C21" s="16"/>
      <c r="D21" s="31" t="s">
        <v>34</v>
      </c>
      <c r="E21" s="32"/>
      <c r="F21" s="33"/>
    </row>
    <row r="22" spans="2:8" ht="59.45" customHeight="1" outlineLevel="1">
      <c r="B22" s="13" t="s">
        <v>35</v>
      </c>
      <c r="C22" s="16"/>
      <c r="D22" s="31" t="s">
        <v>36</v>
      </c>
      <c r="E22" s="32"/>
      <c r="F22" s="33"/>
    </row>
    <row r="23" spans="2:8" ht="42.4" customHeight="1" outlineLevel="1">
      <c r="B23" s="13" t="s">
        <v>37</v>
      </c>
      <c r="C23" s="16"/>
      <c r="D23" s="31" t="s">
        <v>38</v>
      </c>
      <c r="E23" s="32"/>
      <c r="F23" s="33"/>
    </row>
    <row r="24" spans="2:8" ht="42.4" customHeight="1" outlineLevel="1">
      <c r="B24" s="13" t="s">
        <v>39</v>
      </c>
      <c r="C24" s="16"/>
      <c r="D24" s="31" t="s">
        <v>40</v>
      </c>
      <c r="E24" s="32"/>
      <c r="F24" s="33"/>
    </row>
    <row r="25" spans="2:8" ht="42.4" customHeight="1" outlineLevel="1">
      <c r="B25" s="13" t="s">
        <v>41</v>
      </c>
      <c r="C25" s="16"/>
      <c r="D25" s="31" t="s">
        <v>40</v>
      </c>
      <c r="E25" s="32"/>
      <c r="F25" s="33"/>
    </row>
    <row r="26" spans="2:8" ht="42.4" customHeight="1" outlineLevel="1">
      <c r="B26" s="13" t="s">
        <v>42</v>
      </c>
      <c r="C26" s="16"/>
      <c r="D26" s="31" t="s">
        <v>43</v>
      </c>
      <c r="E26" s="32"/>
      <c r="F26" s="33"/>
    </row>
    <row r="27" spans="2:8" ht="42.4" customHeight="1" outlineLevel="1">
      <c r="B27" s="13" t="s">
        <v>44</v>
      </c>
      <c r="C27" s="16"/>
      <c r="D27" s="31" t="s">
        <v>45</v>
      </c>
      <c r="E27" s="32"/>
      <c r="F27" s="33"/>
    </row>
    <row r="28" spans="2:8" ht="42.4" customHeight="1" outlineLevel="1">
      <c r="B28" s="13" t="s">
        <v>46</v>
      </c>
      <c r="C28" s="16"/>
      <c r="D28" s="31" t="s">
        <v>47</v>
      </c>
      <c r="E28" s="32"/>
      <c r="F28" s="33"/>
    </row>
    <row r="29" spans="2:8" ht="15.6">
      <c r="B29" s="10" t="s">
        <v>48</v>
      </c>
      <c r="C29" s="11">
        <f>(SUM(C30:C35)/(COUNTA(B30:B35)))*2</f>
        <v>0</v>
      </c>
      <c r="D29" s="12">
        <v>1</v>
      </c>
      <c r="E29" s="34"/>
      <c r="F29" s="34"/>
      <c r="H29" s="18"/>
    </row>
    <row r="30" spans="2:8" ht="42.4" customHeight="1" outlineLevel="1">
      <c r="B30" s="13" t="s">
        <v>49</v>
      </c>
      <c r="C30" s="16"/>
      <c r="D30" s="31" t="s">
        <v>50</v>
      </c>
      <c r="E30" s="32"/>
      <c r="F30" s="33"/>
    </row>
    <row r="31" spans="2:8" ht="42.4" customHeight="1" outlineLevel="1">
      <c r="B31" s="13" t="s">
        <v>51</v>
      </c>
      <c r="C31" s="16"/>
      <c r="D31" s="31" t="s">
        <v>50</v>
      </c>
      <c r="E31" s="32"/>
      <c r="F31" s="33"/>
    </row>
    <row r="32" spans="2:8" ht="42.4" customHeight="1" outlineLevel="1">
      <c r="B32" s="13" t="s">
        <v>52</v>
      </c>
      <c r="C32" s="16"/>
      <c r="D32" s="31" t="s">
        <v>53</v>
      </c>
      <c r="E32" s="32"/>
      <c r="F32" s="33"/>
    </row>
    <row r="33" spans="2:8" ht="88.9" customHeight="1" outlineLevel="1">
      <c r="B33" s="13" t="s">
        <v>54</v>
      </c>
      <c r="C33" s="16"/>
      <c r="D33" s="31" t="s">
        <v>55</v>
      </c>
      <c r="E33" s="32"/>
      <c r="F33" s="33"/>
    </row>
    <row r="34" spans="2:8" ht="42.4" customHeight="1" outlineLevel="1">
      <c r="B34" s="13" t="s">
        <v>56</v>
      </c>
      <c r="C34" s="16"/>
      <c r="D34" s="31" t="s">
        <v>57</v>
      </c>
      <c r="E34" s="32"/>
      <c r="F34" s="33"/>
    </row>
    <row r="35" spans="2:8" ht="42.4" customHeight="1" outlineLevel="1">
      <c r="B35" s="13" t="s">
        <v>58</v>
      </c>
      <c r="C35" s="16"/>
      <c r="D35" s="31" t="s">
        <v>59</v>
      </c>
      <c r="E35" s="32"/>
      <c r="F35" s="33"/>
    </row>
    <row r="36" spans="2:8" ht="15.6">
      <c r="B36" s="10" t="s">
        <v>60</v>
      </c>
      <c r="C36" s="11">
        <f>(SUM(C37:C42)/(COUNTA(B37:B42)))*2</f>
        <v>0</v>
      </c>
      <c r="D36" s="12">
        <v>1</v>
      </c>
      <c r="E36" s="34"/>
      <c r="F36" s="34"/>
      <c r="H36" s="18"/>
    </row>
    <row r="37" spans="2:8" ht="42.4" customHeight="1" outlineLevel="1">
      <c r="B37" s="13" t="s">
        <v>61</v>
      </c>
      <c r="C37" s="16"/>
      <c r="D37" s="31" t="s">
        <v>62</v>
      </c>
      <c r="E37" s="32"/>
      <c r="F37" s="33"/>
    </row>
    <row r="38" spans="2:8" ht="42.4" customHeight="1" outlineLevel="1">
      <c r="B38" s="13" t="s">
        <v>63</v>
      </c>
      <c r="C38" s="16"/>
      <c r="D38" s="31" t="s">
        <v>64</v>
      </c>
      <c r="E38" s="32"/>
      <c r="F38" s="33"/>
    </row>
    <row r="39" spans="2:8" ht="42.4" customHeight="1" outlineLevel="1">
      <c r="B39" s="13" t="s">
        <v>65</v>
      </c>
      <c r="C39" s="16"/>
      <c r="D39" s="31" t="s">
        <v>66</v>
      </c>
      <c r="E39" s="32"/>
      <c r="F39" s="33"/>
    </row>
    <row r="40" spans="2:8" ht="42.4" customHeight="1" outlineLevel="1">
      <c r="B40" s="13" t="s">
        <v>67</v>
      </c>
      <c r="C40" s="16"/>
      <c r="D40" s="31" t="s">
        <v>68</v>
      </c>
      <c r="E40" s="32"/>
      <c r="F40" s="33"/>
    </row>
    <row r="41" spans="2:8" ht="42.4" customHeight="1" outlineLevel="1">
      <c r="B41" s="13" t="s">
        <v>69</v>
      </c>
      <c r="C41" s="16"/>
      <c r="D41" s="31" t="s">
        <v>70</v>
      </c>
      <c r="E41" s="32"/>
      <c r="F41" s="33"/>
    </row>
    <row r="42" spans="2:8" ht="42.4" customHeight="1" outlineLevel="1">
      <c r="B42" s="13" t="s">
        <v>71</v>
      </c>
      <c r="C42" s="16"/>
      <c r="D42" s="31" t="s">
        <v>70</v>
      </c>
      <c r="E42" s="32"/>
      <c r="F42" s="33"/>
    </row>
    <row r="43" spans="2:8" ht="15.6">
      <c r="B43" s="10"/>
      <c r="C43" s="11">
        <f>(SUM(C44)/(COUNTA(B44)))*2</f>
        <v>20</v>
      </c>
      <c r="D43" s="12">
        <v>1</v>
      </c>
      <c r="E43" s="39"/>
      <c r="F43" s="39"/>
    </row>
    <row r="44" spans="2:8" ht="42.4" customHeight="1" outlineLevel="1">
      <c r="B44" s="13" t="s">
        <v>72</v>
      </c>
      <c r="C44" s="16">
        <v>10</v>
      </c>
      <c r="D44" s="31" t="s">
        <v>73</v>
      </c>
      <c r="E44" s="32"/>
      <c r="F44" s="33"/>
    </row>
    <row r="45" spans="2:8" ht="15.6">
      <c r="B45" s="27"/>
      <c r="C45" s="26"/>
      <c r="D45" s="28"/>
      <c r="E45" s="29"/>
      <c r="F45" s="29"/>
    </row>
    <row r="47" spans="2:8" ht="27.6">
      <c r="C47" s="14" t="s">
        <v>74</v>
      </c>
      <c r="D47" s="14" t="s">
        <v>75</v>
      </c>
      <c r="E47" s="15" t="s">
        <v>76</v>
      </c>
      <c r="F47" s="14" t="s">
        <v>77</v>
      </c>
    </row>
    <row r="48" spans="2:8" ht="15.6">
      <c r="B48" s="6" t="s">
        <v>10</v>
      </c>
      <c r="C48" s="7" t="str">
        <f>IF(D1="","",C8)</f>
        <v/>
      </c>
      <c r="D48" s="8"/>
      <c r="E48" s="8" t="str">
        <f>IF(D1="","",ROUND(0.55*C48+0.45*D48,2)&amp;" ("&amp;D8&amp;")")</f>
        <v/>
      </c>
      <c r="F48" s="8" t="str">
        <f>IF(D1="","",IF(0.55*C48+0.45*D48&gt;=10,"VALIDE","ECHEC"))</f>
        <v/>
      </c>
    </row>
    <row r="49" spans="2:6" ht="15.6">
      <c r="B49" s="6" t="s">
        <v>23</v>
      </c>
      <c r="C49" s="4" t="str">
        <f>IF(D1="","",C15)</f>
        <v/>
      </c>
      <c r="D49" s="5"/>
      <c r="E49" s="8" t="str">
        <f>IF(D1="","",ROUND(0.55*C49+0.45*D49,2)&amp;" ("&amp;D15&amp;")")</f>
        <v/>
      </c>
      <c r="F49" s="8" t="str">
        <f>IF(D1="","",IF(0.55*C49+0.45*D49&gt;=10,"VALIDE","ECHEC"))</f>
        <v/>
      </c>
    </row>
    <row r="50" spans="2:6" ht="15.6">
      <c r="B50" s="6" t="s">
        <v>32</v>
      </c>
      <c r="C50" s="4" t="str">
        <f>IF(D1="","",C20)</f>
        <v/>
      </c>
      <c r="D50" s="5"/>
      <c r="E50" s="8" t="str">
        <f>IF(D1="","",ROUND(0.55*C50+0.45*D50,2)&amp;" ("&amp;D20&amp;")")</f>
        <v/>
      </c>
      <c r="F50" s="8" t="str">
        <f>IF(D1="","",IF(0.55*C50+0.45*D50&gt;=10,"VALIDE","ECHEC"))</f>
        <v/>
      </c>
    </row>
    <row r="51" spans="2:6" ht="15.6">
      <c r="B51" s="6" t="s">
        <v>48</v>
      </c>
      <c r="C51" s="4" t="str">
        <f>IF(D1="","",C29)</f>
        <v/>
      </c>
      <c r="D51" s="5"/>
      <c r="E51" s="8" t="str">
        <f>IF(D1="","",ROUND(0.55*C51+0.45*D51,2)&amp;" ("&amp;D29&amp;")")</f>
        <v/>
      </c>
      <c r="F51" s="8" t="str">
        <f>IF(D1="","",IF(0.55*C51+0.45*D51&gt;=10,"VALIDE","ECHEC"))</f>
        <v/>
      </c>
    </row>
    <row r="52" spans="2:6" ht="15.6">
      <c r="B52" s="6" t="s">
        <v>60</v>
      </c>
      <c r="C52" s="4" t="str">
        <f>IF(D1="","",C36)</f>
        <v/>
      </c>
      <c r="D52" s="5"/>
      <c r="E52" s="8" t="str">
        <f>IF(D1="","",ROUND(0.55*C52+0.45*D52,2)&amp;" ("&amp;D36&amp;")")</f>
        <v/>
      </c>
      <c r="F52" s="8" t="str">
        <f>IF(D1="","",IF(0.55*C52+0.45*D52&gt;=10,"VALIDE","ECHEC"))</f>
        <v/>
      </c>
    </row>
    <row r="53" spans="2:6" ht="15.6">
      <c r="B53" s="6" t="s">
        <v>78</v>
      </c>
      <c r="C53" s="4" t="str">
        <f>IF(D1="","",C43)</f>
        <v/>
      </c>
      <c r="D53" s="5"/>
      <c r="E53" s="8" t="str">
        <f>IF(D1="","",ROUND(0.55*C53+0.45*D53,2)&amp;" ("&amp;D43&amp;")")</f>
        <v/>
      </c>
      <c r="F53" s="8" t="str">
        <f>IF(D1="","",IF(0.55*C53+0.45*D53&gt;=10,"VALIDE","ECHEC"))</f>
        <v/>
      </c>
    </row>
    <row r="54" spans="2:6" ht="15.6">
      <c r="B54" s="9" t="s">
        <v>79</v>
      </c>
      <c r="C54" s="40" t="str">
        <f>IF(D1="","",(ROUND(0.55*C48+0.45*D48,2)*D8+ROUND(0.55*C49+0.45*D49,2)*D15+ROUND(0.55*C50+0.45*D50,2)*D20+ROUND(0.55*C51+0.45*D51,2)*D29+ROUND(0.55*C52+0.45*D52,2)*D36+ROUND(0.55*C53+0.45*D53,2)*D43)/(D8+D15+D20+D29+D36+D43))</f>
        <v/>
      </c>
      <c r="D54" s="40"/>
      <c r="E54" s="40"/>
      <c r="F54" s="40"/>
    </row>
    <row r="57" spans="2:6" ht="15.6">
      <c r="B57" s="44" t="s">
        <v>80</v>
      </c>
      <c r="C57" s="44"/>
      <c r="D57" s="44"/>
      <c r="E57" s="45" t="str">
        <f>IF(D1="","",IF(AND(F48="VALIDE",F49="VALIDE",F50="VALIDE",F51="VALIDE",F52="VALIDE"),"TITRE VALIDÉ","RATTRAPAGE"))</f>
        <v/>
      </c>
      <c r="F57" s="45"/>
    </row>
    <row r="58" spans="2:6" ht="112.9" customHeight="1">
      <c r="B58" s="41" t="str">
        <f>IF(D1="","",IF(AND(F48="VALIDE",F49="VALIDE",F50="VALIDE",F51="VALIDE",F52="VALIDE",F53="VALIDE"),"TITRE VALIDÉ"&amp;CHAR(10)&amp;"MOYENNE GENERALE : "&amp;ROUND(C54,2)&amp;"/20","RATTRAPAGE DES BLOCS : "&amp;CHAR(10)&amp;
IF(F48="ECHEC",B48&amp;CHAR(10),"")&amp;
IF(F49="ECHEC",B49&amp;CHAR(10),"")&amp;
IF(F50="ECHEC",B50&amp;CHAR(10),"")&amp;
IF(F51="ECHEC",B51&amp;CHAR(10),"")&amp;
IF(F52="ECHEC",B52&amp;CHAR(10),"")&amp;
IF(F53="ECHEC",B53&amp;CHAR(10),"")
))</f>
        <v/>
      </c>
      <c r="C58" s="42"/>
      <c r="D58" s="42"/>
      <c r="E58" s="42"/>
      <c r="F58" s="43"/>
    </row>
    <row r="59" spans="2:6">
      <c r="B59" s="38" t="s">
        <v>81</v>
      </c>
      <c r="C59" s="38"/>
      <c r="D59" s="38"/>
      <c r="E59" s="38"/>
      <c r="F59" s="38"/>
    </row>
  </sheetData>
  <sheetProtection selectLockedCells="1"/>
  <dataConsolidate/>
  <mergeCells count="47">
    <mergeCell ref="D38:F38"/>
    <mergeCell ref="D39:F39"/>
    <mergeCell ref="D40:F40"/>
    <mergeCell ref="D41:F41"/>
    <mergeCell ref="D42:F42"/>
    <mergeCell ref="B1:B5"/>
    <mergeCell ref="E15:F15"/>
    <mergeCell ref="E20:F20"/>
    <mergeCell ref="D1:F1"/>
    <mergeCell ref="E7:F7"/>
    <mergeCell ref="E8:F8"/>
    <mergeCell ref="D9:F9"/>
    <mergeCell ref="D10:F10"/>
    <mergeCell ref="D11:F11"/>
    <mergeCell ref="D12:F12"/>
    <mergeCell ref="D13:F13"/>
    <mergeCell ref="D14:F14"/>
    <mergeCell ref="D18:F18"/>
    <mergeCell ref="B59:F59"/>
    <mergeCell ref="E43:F43"/>
    <mergeCell ref="C54:F54"/>
    <mergeCell ref="B58:F58"/>
    <mergeCell ref="B57:D57"/>
    <mergeCell ref="D44:F44"/>
    <mergeCell ref="E57:F57"/>
    <mergeCell ref="D2:F2"/>
    <mergeCell ref="D26:F26"/>
    <mergeCell ref="D27:F27"/>
    <mergeCell ref="D28:F28"/>
    <mergeCell ref="D30:F30"/>
    <mergeCell ref="D16:F16"/>
    <mergeCell ref="D17:F17"/>
    <mergeCell ref="D21:F21"/>
    <mergeCell ref="D22:F22"/>
    <mergeCell ref="D23:F23"/>
    <mergeCell ref="D24:F24"/>
    <mergeCell ref="D25:F25"/>
    <mergeCell ref="D3:F3"/>
    <mergeCell ref="D37:F37"/>
    <mergeCell ref="D19:F19"/>
    <mergeCell ref="D34:F34"/>
    <mergeCell ref="E29:F29"/>
    <mergeCell ref="D35:F35"/>
    <mergeCell ref="E36:F36"/>
    <mergeCell ref="D31:F31"/>
    <mergeCell ref="D32:F32"/>
    <mergeCell ref="D33:F33"/>
  </mergeCells>
  <conditionalFormatting sqref="C9:C14 D48:D53">
    <cfRule type="containsBlanks" dxfId="6" priority="2">
      <formula>LEN(TRIM(C9))=0</formula>
    </cfRule>
  </conditionalFormatting>
  <conditionalFormatting sqref="C16:C19">
    <cfRule type="containsBlanks" dxfId="5" priority="3">
      <formula>LEN(TRIM(C16))=0</formula>
    </cfRule>
  </conditionalFormatting>
  <conditionalFormatting sqref="C21:C28">
    <cfRule type="containsBlanks" dxfId="4" priority="4">
      <formula>LEN(TRIM(C21))=0</formula>
    </cfRule>
  </conditionalFormatting>
  <conditionalFormatting sqref="C30:C35 C37:C42">
    <cfRule type="containsBlanks" dxfId="3" priority="7">
      <formula>LEN(TRIM(C30))=0</formula>
    </cfRule>
  </conditionalFormatting>
  <conditionalFormatting sqref="C44">
    <cfRule type="containsBlanks" dxfId="2" priority="1">
      <formula>LEN(TRIM(C44))=0</formula>
    </cfRule>
  </conditionalFormatting>
  <conditionalFormatting sqref="E57">
    <cfRule type="expression" dxfId="1" priority="117">
      <formula>$E$57="RATTRAPAGE"</formula>
    </cfRule>
    <cfRule type="expression" dxfId="0" priority="118">
      <formula>$E$57="VALIDÉ"</formula>
    </cfRule>
  </conditionalFormatting>
  <dataValidations count="1">
    <dataValidation type="list" allowBlank="1" showInputMessage="1" showErrorMessage="1" sqref="C30:C35 C16:C19 C21:C28 C37:C42 C9:C14 C44" xr:uid="{B7CE4B04-879D-4E2B-9A7A-7891455D149C}">
      <formula1>"0,1,2,3,4,5,6,7,8,9,10"</formula1>
    </dataValidation>
  </dataValidations>
  <pageMargins left="0.7" right="0.7" top="0.75" bottom="0.75" header="0.3" footer="0.3"/>
  <pageSetup paperSize="9" scale="37" orientation="portrait" verticalDpi="300" r:id="rId1"/>
  <rowBreaks count="1" manualBreakCount="1">
    <brk id="45" min="1"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585C487109D9409A65BDFEC8656032" ma:contentTypeVersion="11" ma:contentTypeDescription="Crée un document." ma:contentTypeScope="" ma:versionID="d252d92ba40fbae740f3c1100503716d">
  <xsd:schema xmlns:xsd="http://www.w3.org/2001/XMLSchema" xmlns:xs="http://www.w3.org/2001/XMLSchema" xmlns:p="http://schemas.microsoft.com/office/2006/metadata/properties" xmlns:ns2="d5316ff6-2846-45ba-b784-ed88d2f7a0ed" xmlns:ns3="0d805eae-5f70-47aa-ba4d-34f0f6244e17" targetNamespace="http://schemas.microsoft.com/office/2006/metadata/properties" ma:root="true" ma:fieldsID="7f5d8f5e8c59389387805bd6caa14029" ns2:_="" ns3:_="">
    <xsd:import namespace="d5316ff6-2846-45ba-b784-ed88d2f7a0ed"/>
    <xsd:import namespace="0d805eae-5f70-47aa-ba4d-34f0f6244e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316ff6-2846-45ba-b784-ed88d2f7a0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a1824895-d79c-4751-9fd1-b21fd8483c7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d805eae-5f70-47aa-ba4d-34f0f6244e1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67442a1-0ef0-4e7a-a9b7-a3355dc53bf0}" ma:internalName="TaxCatchAll" ma:showField="CatchAllData" ma:web="0d805eae-5f70-47aa-ba4d-34f0f6244e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316ff6-2846-45ba-b784-ed88d2f7a0ed">
      <Terms xmlns="http://schemas.microsoft.com/office/infopath/2007/PartnerControls"/>
    </lcf76f155ced4ddcb4097134ff3c332f>
    <TaxCatchAll xmlns="0d805eae-5f70-47aa-ba4d-34f0f6244e17" xsi:nil="true"/>
  </documentManagement>
</p:properties>
</file>

<file path=customXml/itemProps1.xml><?xml version="1.0" encoding="utf-8"?>
<ds:datastoreItem xmlns:ds="http://schemas.openxmlformats.org/officeDocument/2006/customXml" ds:itemID="{C7F4C1E5-C962-4B3D-9444-F7AE978B1594}"/>
</file>

<file path=customXml/itemProps2.xml><?xml version="1.0" encoding="utf-8"?>
<ds:datastoreItem xmlns:ds="http://schemas.openxmlformats.org/officeDocument/2006/customXml" ds:itemID="{3BBE5257-07D3-4F1E-BD29-229BDB0DEA1D}"/>
</file>

<file path=customXml/itemProps3.xml><?xml version="1.0" encoding="utf-8"?>
<ds:datastoreItem xmlns:ds="http://schemas.openxmlformats.org/officeDocument/2006/customXml" ds:itemID="{251CCBE4-E319-4A50-923C-38AB2766F8A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 Zerbib</dc:creator>
  <cp:keywords/>
  <dc:description/>
  <cp:lastModifiedBy>Gérard ZERBIB</cp:lastModifiedBy>
  <cp:revision/>
  <dcterms:created xsi:type="dcterms:W3CDTF">2015-11-19T12:43:32Z</dcterms:created>
  <dcterms:modified xsi:type="dcterms:W3CDTF">2026-07-25T19:43:01Z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0x01010032585C487109D9409A65BDFEC8656032</vt:lpwstr>
  </property>
  <property fmtid="{D5CDD505-2E9C-101B-9397-08002B2CF9AE}" pid="3" name="Order">
    <vt:r8>11100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MediaServiceImageTags">
    <vt:lpwstr/>
  </property>
</Properties>
</file>